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86C0DDBC-D884-4322-A119-02501FF82593}" xr6:coauthVersionLast="47" xr6:coauthVersionMax="47" xr10:uidLastSave="{00000000-0000-0000-0000-000000000000}"/>
  <bookViews>
    <workbookView xWindow="-108" yWindow="-108" windowWidth="23256" windowHeight="12456" activeTab="1" xr2:uid="{A7F0C397-CFF5-4FBA-A10A-39EE0B75E3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N18" i="2"/>
  <c r="L18" i="2"/>
  <c r="N17" i="2"/>
  <c r="L17" i="2"/>
  <c r="N16" i="2"/>
  <c r="L16" i="2"/>
  <c r="N15" i="2"/>
  <c r="L15" i="2"/>
  <c r="J15" i="2"/>
  <c r="N14" i="2"/>
  <c r="L14" i="2"/>
  <c r="N13" i="2"/>
  <c r="N12" i="2"/>
  <c r="L12" i="2"/>
  <c r="N11" i="2"/>
  <c r="L11" i="2"/>
  <c r="C12" i="1"/>
  <c r="C8" i="1"/>
  <c r="E4" i="1"/>
  <c r="E12" i="1" s="1"/>
  <c r="E5" i="1"/>
  <c r="E6" i="1"/>
  <c r="E7" i="1"/>
  <c r="E9" i="1"/>
  <c r="E10" i="1"/>
  <c r="E11" i="1"/>
  <c r="G10" i="1"/>
  <c r="G11" i="1"/>
  <c r="G5" i="1"/>
  <c r="G6" i="1"/>
  <c r="G7" i="1"/>
  <c r="G9" i="1"/>
  <c r="L19" i="2" l="1"/>
  <c r="N19" i="2"/>
  <c r="N20" i="2" s="1"/>
  <c r="L20" i="2"/>
  <c r="J19" i="2"/>
  <c r="J20" i="2" s="1"/>
  <c r="E8" i="1"/>
  <c r="G8" i="1"/>
  <c r="E13" i="1"/>
  <c r="G4" i="1"/>
  <c r="G12" i="1" s="1"/>
  <c r="G13" i="1" l="1"/>
  <c r="C13" i="1"/>
</calcChain>
</file>

<file path=xl/sharedStrings.xml><?xml version="1.0" encoding="utf-8"?>
<sst xmlns="http://schemas.openxmlformats.org/spreadsheetml/2006/main" count="44" uniqueCount="21">
  <si>
    <t>SUBSYSTEM​</t>
  </si>
  <si>
    <t>POWER REQUIREMENT​</t>
  </si>
  <si>
    <t>Margin (30%)​</t>
  </si>
  <si>
    <t>TOTAL ROUGH ESTIMATE​</t>
  </si>
  <si>
    <t>Safe Mode</t>
  </si>
  <si>
    <t>Transmission Mode</t>
  </si>
  <si>
    <t>Tx</t>
  </si>
  <si>
    <t>Rx</t>
  </si>
  <si>
    <t>Thermals</t>
  </si>
  <si>
    <t>TT&amp;C​</t>
  </si>
  <si>
    <t>Peak Power(W)</t>
  </si>
  <si>
    <t>Duty cycle(%)</t>
  </si>
  <si>
    <t>Avg Power(W)</t>
  </si>
  <si>
    <t>Thermocoolers</t>
  </si>
  <si>
    <t>Heaters</t>
  </si>
  <si>
    <t>Excl.Beam Steering</t>
  </si>
  <si>
    <t>Beam Steering</t>
  </si>
  <si>
    <t>ADCS ​</t>
  </si>
  <si>
    <t xml:space="preserve">                        CDH​</t>
  </si>
  <si>
    <t xml:space="preserve">               Payload (laser module)​</t>
  </si>
  <si>
    <t xml:space="preserve">               Payload (LASER module)​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</si>
</sst>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866B-C516-4525-9313-B6E69A04C139}">
  <dimension ref="A1:G13"/>
  <sheetViews>
    <sheetView zoomScale="115" zoomScaleNormal="115" workbookViewId="0">
      <selection activeCell="H17" sqref="H17"/>
    </sheetView>
  </sheetViews>
  <sheetFormatPr defaultRowHeight="14.4" x14ac:dyDescent="0.3"/>
  <cols>
    <col min="1" max="1" width="27.77734375" customWidth="1"/>
    <col min="2" max="2" width="16.44140625" customWidth="1"/>
    <col min="3" max="3" width="13.44140625" customWidth="1"/>
    <col min="4" max="4" width="13.88671875" customWidth="1"/>
    <col min="5" max="5" width="13.5546875" customWidth="1"/>
    <col min="6" max="6" width="12.44140625" customWidth="1"/>
    <col min="7" max="7" width="13" customWidth="1"/>
  </cols>
  <sheetData>
    <row r="1" spans="1:7" x14ac:dyDescent="0.3">
      <c r="A1" s="33" t="s">
        <v>0</v>
      </c>
      <c r="B1" s="34"/>
      <c r="C1" s="16" t="s">
        <v>1</v>
      </c>
      <c r="D1" s="18"/>
      <c r="E1" s="18"/>
      <c r="F1" s="18"/>
      <c r="G1" s="17"/>
    </row>
    <row r="2" spans="1:7" x14ac:dyDescent="0.3">
      <c r="A2" s="35"/>
      <c r="B2" s="36"/>
      <c r="C2" s="27" t="s">
        <v>10</v>
      </c>
      <c r="D2" s="16" t="s">
        <v>5</v>
      </c>
      <c r="E2" s="17"/>
      <c r="F2" s="16" t="s">
        <v>4</v>
      </c>
      <c r="G2" s="17"/>
    </row>
    <row r="3" spans="1:7" x14ac:dyDescent="0.3">
      <c r="A3" s="37"/>
      <c r="B3" s="38"/>
      <c r="C3" s="28"/>
      <c r="D3" s="2" t="s">
        <v>11</v>
      </c>
      <c r="E3" s="2" t="s">
        <v>12</v>
      </c>
      <c r="F3" s="2" t="s">
        <v>11</v>
      </c>
      <c r="G3" s="2" t="s">
        <v>12</v>
      </c>
    </row>
    <row r="4" spans="1:7" x14ac:dyDescent="0.3">
      <c r="A4" s="31" t="s">
        <v>19</v>
      </c>
      <c r="B4" s="32"/>
      <c r="C4" s="3">
        <v>25</v>
      </c>
      <c r="D4" s="3">
        <v>1.05</v>
      </c>
      <c r="E4" s="3">
        <f>(D4/100)*C4</f>
        <v>0.26250000000000001</v>
      </c>
      <c r="F4" s="3">
        <v>0</v>
      </c>
      <c r="G4" s="3">
        <f>(F4/100)*C4</f>
        <v>0</v>
      </c>
    </row>
    <row r="5" spans="1:7" x14ac:dyDescent="0.3">
      <c r="A5" s="29" t="s">
        <v>18</v>
      </c>
      <c r="B5" s="30"/>
      <c r="C5" s="5">
        <v>3.5</v>
      </c>
      <c r="D5" s="5">
        <v>100</v>
      </c>
      <c r="E5" s="5">
        <f t="shared" ref="E5:E8" si="0">(D5/100)*C5</f>
        <v>3.5</v>
      </c>
      <c r="F5" s="5">
        <v>100</v>
      </c>
      <c r="G5" s="5">
        <f t="shared" ref="G5:G8" si="1">(F5/100)*C5</f>
        <v>3.5</v>
      </c>
    </row>
    <row r="6" spans="1:7" x14ac:dyDescent="0.3">
      <c r="A6" s="25" t="s">
        <v>9</v>
      </c>
      <c r="B6" s="3" t="s">
        <v>6</v>
      </c>
      <c r="C6" s="3">
        <v>4</v>
      </c>
      <c r="D6" s="3">
        <v>10.33</v>
      </c>
      <c r="E6" s="3">
        <f t="shared" si="0"/>
        <v>0.41320000000000001</v>
      </c>
      <c r="F6" s="3">
        <v>10.33</v>
      </c>
      <c r="G6" s="3">
        <f t="shared" si="1"/>
        <v>0.41320000000000001</v>
      </c>
    </row>
    <row r="7" spans="1:7" x14ac:dyDescent="0.3">
      <c r="A7" s="26"/>
      <c r="B7" s="3" t="s">
        <v>7</v>
      </c>
      <c r="C7" s="3">
        <v>0.115</v>
      </c>
      <c r="D7" s="3">
        <v>100</v>
      </c>
      <c r="E7" s="3">
        <f t="shared" si="0"/>
        <v>0.115</v>
      </c>
      <c r="F7" s="3">
        <v>100</v>
      </c>
      <c r="G7" s="3">
        <f t="shared" si="1"/>
        <v>0.115</v>
      </c>
    </row>
    <row r="8" spans="1:7" x14ac:dyDescent="0.3">
      <c r="A8" s="39" t="s">
        <v>17</v>
      </c>
      <c r="B8" s="1" t="s">
        <v>15</v>
      </c>
      <c r="C8" s="1">
        <f>0.65+0.6+3*0.4</f>
        <v>2.4500000000000002</v>
      </c>
      <c r="D8" s="1">
        <v>100</v>
      </c>
      <c r="E8" s="1">
        <f t="shared" si="0"/>
        <v>2.4500000000000002</v>
      </c>
      <c r="F8" s="1">
        <v>100</v>
      </c>
      <c r="G8" s="1">
        <f t="shared" si="1"/>
        <v>2.4500000000000002</v>
      </c>
    </row>
    <row r="9" spans="1:7" x14ac:dyDescent="0.3">
      <c r="A9" s="40"/>
      <c r="B9" s="1" t="s">
        <v>16</v>
      </c>
      <c r="C9" s="1">
        <v>11</v>
      </c>
      <c r="D9" s="1">
        <v>1.05</v>
      </c>
      <c r="E9" s="1">
        <f>(D9/100)*C9</f>
        <v>0.11550000000000001</v>
      </c>
      <c r="F9" s="1">
        <v>0</v>
      </c>
      <c r="G9" s="1">
        <f>(F9/100)*C9</f>
        <v>0</v>
      </c>
    </row>
    <row r="10" spans="1:7" x14ac:dyDescent="0.3">
      <c r="A10" s="19" t="s">
        <v>8</v>
      </c>
      <c r="B10" s="3" t="s">
        <v>13</v>
      </c>
      <c r="C10" s="3">
        <v>2</v>
      </c>
      <c r="D10" s="3">
        <v>1.05</v>
      </c>
      <c r="E10" s="3">
        <f>(D10/100)*C10</f>
        <v>2.1000000000000001E-2</v>
      </c>
      <c r="F10" s="3">
        <v>0</v>
      </c>
      <c r="G10" s="3">
        <f t="shared" ref="G10:G11" si="2">(F10/100)*C10</f>
        <v>0</v>
      </c>
    </row>
    <row r="11" spans="1:7" x14ac:dyDescent="0.3">
      <c r="A11" s="20"/>
      <c r="B11" s="4" t="s">
        <v>14</v>
      </c>
      <c r="C11" s="4">
        <v>1</v>
      </c>
      <c r="D11" s="4">
        <v>37.799999999999997</v>
      </c>
      <c r="E11" s="4">
        <f>(D11/100)*C11</f>
        <v>0.37799999999999995</v>
      </c>
      <c r="F11" s="3">
        <v>37.799999999999997</v>
      </c>
      <c r="G11" s="3">
        <f t="shared" si="2"/>
        <v>0.37799999999999995</v>
      </c>
    </row>
    <row r="12" spans="1:7" x14ac:dyDescent="0.3">
      <c r="A12" s="21" t="s">
        <v>2</v>
      </c>
      <c r="B12" s="22"/>
      <c r="C12" s="11">
        <f>0.3*(SUM(C4:C11))</f>
        <v>14.7195</v>
      </c>
      <c r="D12" s="13"/>
      <c r="E12" s="14">
        <f>0.3*(SUM(E4:E11))</f>
        <v>2.1765599999999998</v>
      </c>
      <c r="F12" s="15"/>
      <c r="G12" s="12">
        <f>0.3*(SUM(G4:G11))</f>
        <v>2.0568599999999999</v>
      </c>
    </row>
    <row r="13" spans="1:7" x14ac:dyDescent="0.3">
      <c r="A13" s="23" t="s">
        <v>3</v>
      </c>
      <c r="B13" s="24"/>
      <c r="C13" s="6">
        <f>SUM(C4:C12)</f>
        <v>63.784500000000008</v>
      </c>
      <c r="D13" s="9"/>
      <c r="E13" s="8">
        <f>SUM(E4:E12)</f>
        <v>9.4317600000000006</v>
      </c>
      <c r="F13" s="10"/>
      <c r="G13" s="7">
        <f>SUM(G4:G12)</f>
        <v>8.9130599999999998</v>
      </c>
    </row>
  </sheetData>
  <mergeCells count="12">
    <mergeCell ref="F2:G2"/>
    <mergeCell ref="C1:G1"/>
    <mergeCell ref="A10:A11"/>
    <mergeCell ref="A12:B12"/>
    <mergeCell ref="A13:B13"/>
    <mergeCell ref="A6:A7"/>
    <mergeCell ref="C2:C3"/>
    <mergeCell ref="D2:E2"/>
    <mergeCell ref="A5:B5"/>
    <mergeCell ref="A4:B4"/>
    <mergeCell ref="A1:B3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DA8B-3D10-48D1-A290-39DE38C276CB}">
  <dimension ref="H8:N20"/>
  <sheetViews>
    <sheetView tabSelected="1" topLeftCell="G6" zoomScale="145" zoomScaleNormal="145" workbookViewId="0">
      <selection activeCell="J23" sqref="J23"/>
    </sheetView>
  </sheetViews>
  <sheetFormatPr defaultRowHeight="14.4" x14ac:dyDescent="0.3"/>
  <cols>
    <col min="1" max="1" width="19" customWidth="1"/>
    <col min="2" max="2" width="19.33203125" customWidth="1"/>
    <col min="3" max="3" width="14.109375" customWidth="1"/>
    <col min="7" max="7" width="6.5546875" customWidth="1"/>
    <col min="8" max="8" width="14.44140625" customWidth="1"/>
    <col min="9" max="9" width="22.109375" customWidth="1"/>
    <col min="10" max="10" width="13.88671875" customWidth="1"/>
    <col min="11" max="11" width="13" customWidth="1"/>
    <col min="12" max="12" width="14.33203125" customWidth="1"/>
    <col min="13" max="13" width="12.6640625" customWidth="1"/>
    <col min="14" max="14" width="13.88671875" customWidth="1"/>
    <col min="15" max="16" width="8.88671875" customWidth="1"/>
  </cols>
  <sheetData>
    <row r="8" spans="8:14" x14ac:dyDescent="0.3">
      <c r="H8" s="33" t="s">
        <v>0</v>
      </c>
      <c r="I8" s="34"/>
      <c r="J8" s="16" t="s">
        <v>1</v>
      </c>
      <c r="K8" s="18"/>
      <c r="L8" s="18"/>
      <c r="M8" s="18"/>
      <c r="N8" s="17"/>
    </row>
    <row r="9" spans="8:14" x14ac:dyDescent="0.3">
      <c r="H9" s="35"/>
      <c r="I9" s="36"/>
      <c r="J9" s="27" t="s">
        <v>10</v>
      </c>
      <c r="K9" s="16" t="s">
        <v>5</v>
      </c>
      <c r="L9" s="17"/>
      <c r="M9" s="16" t="s">
        <v>4</v>
      </c>
      <c r="N9" s="17"/>
    </row>
    <row r="10" spans="8:14" x14ac:dyDescent="0.3">
      <c r="H10" s="37"/>
      <c r="I10" s="38"/>
      <c r="J10" s="28"/>
      <c r="K10" s="2" t="s">
        <v>11</v>
      </c>
      <c r="L10" s="2" t="s">
        <v>12</v>
      </c>
      <c r="M10" s="2" t="s">
        <v>11</v>
      </c>
      <c r="N10" s="2" t="s">
        <v>12</v>
      </c>
    </row>
    <row r="11" spans="8:14" x14ac:dyDescent="0.3">
      <c r="H11" s="31" t="s">
        <v>20</v>
      </c>
      <c r="I11" s="32"/>
      <c r="J11" s="3">
        <v>25</v>
      </c>
      <c r="K11" s="3">
        <v>1.05</v>
      </c>
      <c r="L11" s="3">
        <f>(K11/100)*J11</f>
        <v>0.26250000000000001</v>
      </c>
      <c r="M11" s="3">
        <v>0</v>
      </c>
      <c r="N11" s="3">
        <f>(M11/100)*J11</f>
        <v>0</v>
      </c>
    </row>
    <row r="12" spans="8:14" x14ac:dyDescent="0.3">
      <c r="H12" s="29" t="s">
        <v>18</v>
      </c>
      <c r="I12" s="30"/>
      <c r="J12" s="5">
        <v>3.5</v>
      </c>
      <c r="K12" s="5">
        <v>100</v>
      </c>
      <c r="L12" s="5">
        <f t="shared" ref="L12:L15" si="0">(K12/100)*J12</f>
        <v>3.5</v>
      </c>
      <c r="M12" s="5">
        <v>100</v>
      </c>
      <c r="N12" s="5">
        <f t="shared" ref="N12:N15" si="1">(M12/100)*J12</f>
        <v>3.5</v>
      </c>
    </row>
    <row r="13" spans="8:14" x14ac:dyDescent="0.3">
      <c r="H13" s="25" t="s">
        <v>9</v>
      </c>
      <c r="I13" s="3" t="s">
        <v>6</v>
      </c>
      <c r="J13" s="3">
        <v>4</v>
      </c>
      <c r="K13" s="3">
        <v>10.33</v>
      </c>
      <c r="L13" s="3">
        <f t="shared" si="0"/>
        <v>0.41320000000000001</v>
      </c>
      <c r="M13" s="3">
        <v>10.33</v>
      </c>
      <c r="N13" s="3">
        <f t="shared" si="1"/>
        <v>0.41320000000000001</v>
      </c>
    </row>
    <row r="14" spans="8:14" x14ac:dyDescent="0.3">
      <c r="H14" s="26"/>
      <c r="I14" s="3" t="s">
        <v>7</v>
      </c>
      <c r="J14" s="3">
        <v>0.115</v>
      </c>
      <c r="K14" s="3">
        <v>100</v>
      </c>
      <c r="L14" s="3">
        <f t="shared" si="0"/>
        <v>0.115</v>
      </c>
      <c r="M14" s="3">
        <v>100</v>
      </c>
      <c r="N14" s="3">
        <f t="shared" si="1"/>
        <v>0.115</v>
      </c>
    </row>
    <row r="15" spans="8:14" x14ac:dyDescent="0.3">
      <c r="H15" s="39" t="s">
        <v>17</v>
      </c>
      <c r="I15" s="1" t="s">
        <v>15</v>
      </c>
      <c r="J15" s="1">
        <f>0.65+0.6+3*0.4</f>
        <v>2.4500000000000002</v>
      </c>
      <c r="K15" s="1">
        <v>100</v>
      </c>
      <c r="L15" s="1">
        <f t="shared" si="0"/>
        <v>2.4500000000000002</v>
      </c>
      <c r="M15" s="1">
        <v>100</v>
      </c>
      <c r="N15" s="1">
        <f t="shared" si="1"/>
        <v>2.4500000000000002</v>
      </c>
    </row>
    <row r="16" spans="8:14" x14ac:dyDescent="0.3">
      <c r="H16" s="40"/>
      <c r="I16" s="1" t="s">
        <v>16</v>
      </c>
      <c r="J16" s="1">
        <v>11</v>
      </c>
      <c r="K16" s="1">
        <v>1.05</v>
      </c>
      <c r="L16" s="1">
        <f>(K16/100)*J16</f>
        <v>0.11550000000000001</v>
      </c>
      <c r="M16" s="1">
        <v>0</v>
      </c>
      <c r="N16" s="1">
        <f>(M16/100)*J16</f>
        <v>0</v>
      </c>
    </row>
    <row r="17" spans="8:14" x14ac:dyDescent="0.3">
      <c r="H17" s="19" t="s">
        <v>8</v>
      </c>
      <c r="I17" s="3" t="s">
        <v>13</v>
      </c>
      <c r="J17" s="3">
        <v>2</v>
      </c>
      <c r="K17" s="3">
        <v>1.05</v>
      </c>
      <c r="L17" s="3">
        <f>(K17/100)*J17</f>
        <v>2.1000000000000001E-2</v>
      </c>
      <c r="M17" s="3">
        <v>0</v>
      </c>
      <c r="N17" s="3">
        <f t="shared" ref="N17:N18" si="2">(M17/100)*J17</f>
        <v>0</v>
      </c>
    </row>
    <row r="18" spans="8:14" x14ac:dyDescent="0.3">
      <c r="H18" s="20"/>
      <c r="I18" s="4" t="s">
        <v>14</v>
      </c>
      <c r="J18" s="4">
        <v>1</v>
      </c>
      <c r="K18" s="4">
        <v>37.799999999999997</v>
      </c>
      <c r="L18" s="4">
        <f>(K18/100)*J18</f>
        <v>0.37799999999999995</v>
      </c>
      <c r="M18" s="3">
        <v>37.799999999999997</v>
      </c>
      <c r="N18" s="3">
        <f t="shared" si="2"/>
        <v>0.37799999999999995</v>
      </c>
    </row>
    <row r="19" spans="8:14" x14ac:dyDescent="0.3">
      <c r="H19" s="21" t="s">
        <v>2</v>
      </c>
      <c r="I19" s="22"/>
      <c r="J19" s="11">
        <f>0.3*(SUM(J11:J18))</f>
        <v>14.7195</v>
      </c>
      <c r="K19" s="13"/>
      <c r="L19" s="14">
        <f>0.3*(SUM(L11:L18))</f>
        <v>2.1765599999999998</v>
      </c>
      <c r="M19" s="15"/>
      <c r="N19" s="12">
        <f>0.3*(SUM(N11:N18))</f>
        <v>2.0568599999999999</v>
      </c>
    </row>
    <row r="20" spans="8:14" x14ac:dyDescent="0.3">
      <c r="H20" s="23" t="s">
        <v>3</v>
      </c>
      <c r="I20" s="24"/>
      <c r="J20" s="6">
        <f>SUM(J11:J19)</f>
        <v>63.784500000000008</v>
      </c>
      <c r="K20" s="9"/>
      <c r="L20" s="8">
        <f>SUM(L11:L19)</f>
        <v>9.4317600000000006</v>
      </c>
      <c r="M20" s="10"/>
      <c r="N20" s="7">
        <f>SUM(N11:N19)</f>
        <v>8.9130599999999998</v>
      </c>
    </row>
  </sheetData>
  <mergeCells count="12">
    <mergeCell ref="H20:I20"/>
    <mergeCell ref="H8:I10"/>
    <mergeCell ref="J8:N8"/>
    <mergeCell ref="J9:J10"/>
    <mergeCell ref="K9:L9"/>
    <mergeCell ref="M9:N9"/>
    <mergeCell ref="H11:I11"/>
    <mergeCell ref="H12:I12"/>
    <mergeCell ref="H13:H14"/>
    <mergeCell ref="H15:H16"/>
    <mergeCell ref="H17:H18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Sudev Shiva</dc:creator>
  <cp:lastModifiedBy>Sudev Shiva</cp:lastModifiedBy>
  <dcterms:created xsi:type="dcterms:W3CDTF">2025-08-14T08:06:55Z</dcterms:created>
  <dcterms:modified xsi:type="dcterms:W3CDTF">2025-08-17T06:09:13Z</dcterms:modified>
</cp:coreProperties>
</file>